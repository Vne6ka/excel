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OneDrive\Рабочий стол\"/>
    </mc:Choice>
  </mc:AlternateContent>
  <bookViews>
    <workbookView xWindow="0" yWindow="0" windowWidth="23040" windowHeight="9192"/>
  </bookViews>
  <sheets>
    <sheet name="Лист1" sheetId="1" r:id="rId1"/>
  </sheets>
  <calcPr calcId="162913"/>
</workbook>
</file>

<file path=xl/calcChain.xml><?xml version="1.0" encoding="utf-8"?>
<calcChain xmlns="http://schemas.openxmlformats.org/spreadsheetml/2006/main">
  <c r="B70" i="1" l="1"/>
  <c r="A66" i="1"/>
  <c r="B66" i="1"/>
  <c r="B73" i="1" s="1"/>
  <c r="B74" i="1" s="1"/>
  <c r="C66" i="1"/>
  <c r="D66" i="1"/>
  <c r="E66" i="1"/>
  <c r="F66" i="1"/>
  <c r="A67" i="1"/>
  <c r="B67" i="1"/>
  <c r="C67" i="1"/>
  <c r="D67" i="1"/>
  <c r="E67" i="1"/>
  <c r="F67" i="1"/>
  <c r="A68" i="1"/>
  <c r="B68" i="1"/>
  <c r="C68" i="1"/>
  <c r="D68" i="1"/>
  <c r="E68" i="1"/>
  <c r="F68" i="1"/>
  <c r="B65" i="1"/>
  <c r="C65" i="1"/>
  <c r="D65" i="1"/>
  <c r="E65" i="1"/>
  <c r="F65" i="1"/>
  <c r="A65" i="1"/>
  <c r="B62" i="1"/>
  <c r="B61" i="1"/>
  <c r="C58" i="1"/>
  <c r="C59" i="1"/>
  <c r="C60" i="1"/>
  <c r="C57" i="1"/>
  <c r="B55" i="1"/>
  <c r="B54" i="1"/>
  <c r="D53" i="1"/>
  <c r="E53" i="1"/>
  <c r="F53" i="1"/>
  <c r="G53" i="1"/>
  <c r="H53" i="1"/>
  <c r="B71" i="1" l="1"/>
  <c r="E32" i="1"/>
  <c r="H39" i="1" s="1"/>
  <c r="D38" i="1" l="1"/>
  <c r="H35" i="1"/>
  <c r="G37" i="1"/>
  <c r="H37" i="1"/>
  <c r="C38" i="1"/>
  <c r="G36" i="1"/>
  <c r="F42" i="1" s="1"/>
  <c r="E38" i="1"/>
  <c r="E37" i="1"/>
  <c r="E36" i="1"/>
  <c r="F38" i="1"/>
  <c r="G38" i="1"/>
  <c r="G35" i="1"/>
  <c r="F37" i="1"/>
  <c r="C36" i="1"/>
  <c r="D36" i="1"/>
  <c r="F36" i="1"/>
  <c r="E42" i="1" s="1"/>
  <c r="C35" i="1"/>
  <c r="H38" i="1"/>
  <c r="H36" i="1"/>
  <c r="D35" i="1"/>
  <c r="E35" i="1"/>
  <c r="C37" i="1"/>
  <c r="F35" i="1"/>
  <c r="D37" i="1"/>
  <c r="C39" i="1"/>
  <c r="B47" i="1" s="1"/>
  <c r="D39" i="1"/>
  <c r="F39" i="1"/>
  <c r="G39" i="1"/>
  <c r="C42" i="1" l="1"/>
  <c r="L34" i="1"/>
  <c r="B44" i="1"/>
  <c r="B42" i="1"/>
  <c r="B49" i="1" s="1"/>
  <c r="B46" i="1"/>
  <c r="G42" i="1"/>
  <c r="B45" i="1"/>
  <c r="D42" i="1"/>
  <c r="C53" i="1" l="1"/>
  <c r="B50" i="1"/>
</calcChain>
</file>

<file path=xl/sharedStrings.xml><?xml version="1.0" encoding="utf-8"?>
<sst xmlns="http://schemas.openxmlformats.org/spreadsheetml/2006/main" count="43" uniqueCount="43">
  <si>
    <t xml:space="preserve">Дано: двумерная выборка, то есть 24 пар значений, полученных в результате измерений некоторой двумерной случайной величины (X,Y). В таблице записаны частоты соответственных значений.  </t>
  </si>
  <si>
    <t>Перед началом работы введите свой номер в списке группы и таблица сгенерирует вам индивидуальный вариант</t>
  </si>
  <si>
    <t>Ваш номер в списке группы:</t>
  </si>
  <si>
    <t>Ваш Вариант:</t>
  </si>
  <si>
    <t>x_1</t>
  </si>
  <si>
    <t>x_2</t>
  </si>
  <si>
    <t>x_3</t>
  </si>
  <si>
    <t>x_4</t>
  </si>
  <si>
    <t>x_5</t>
  </si>
  <si>
    <t>x_6</t>
  </si>
  <si>
    <t>y \ x</t>
  </si>
  <si>
    <t>y_1</t>
  </si>
  <si>
    <t>y_2</t>
  </si>
  <si>
    <t>y_3</t>
  </si>
  <si>
    <t>y_4</t>
  </si>
  <si>
    <t>Задача: Проверить, если ли линейная зависимость между полученными данными по X и Y? 
Для этого: 
1) Составьте одномерные выборки для X отдельно, и для Y отдельно.
2) Найти выборочные cov(X,Y) и r(X,Y).
Если получилось |r(X,Y) |=1,  то есть строгая линейная зависимость, но скорее всего такого не будет. 
3) Составьте уравнение линейной регрессии (см.формулу на лекциях) - это приближение наших данных линейной функцией.
4) Отметьте выборку на плоскости (x,y)  и нарисуйте уравнение линейной регрессии. 
Сделайте вывод по рисунку, хорошо ли регрессия приближает наши данные, действительно ли видна линейная зависисмость между данными? (напишите Ваш вывод)
П.С. Все вычисления можно сделать через формулы в таблице, а можно посчитать руками. 
Если считаете по формулам, то я должна видеть эти формулы в таблице.
Если считаете руками, то я должна видеть все ваши вычисления.
Будьте готовы ответить на вопросы на понимание по вашей работе.</t>
  </si>
  <si>
    <t>Диапазон таблицы частоты</t>
  </si>
  <si>
    <t>Частота X</t>
  </si>
  <si>
    <t>Частота Y</t>
  </si>
  <si>
    <t>Мат.ожидание X</t>
  </si>
  <si>
    <t>Мат.ожидание Y</t>
  </si>
  <si>
    <t>Вспомогательная строка</t>
  </si>
  <si>
    <t>Дис. X</t>
  </si>
  <si>
    <t>СКО X</t>
  </si>
  <si>
    <t>Вспомогательный столбец</t>
  </si>
  <si>
    <t>Дис Y</t>
  </si>
  <si>
    <t>СКО Y</t>
  </si>
  <si>
    <t>Ковариация</t>
  </si>
  <si>
    <t>Таблица произведений</t>
  </si>
  <si>
    <t>Коэф. Корреляции</t>
  </si>
  <si>
    <t>Регрессия</t>
  </si>
  <si>
    <t>коэф B</t>
  </si>
  <si>
    <t>коэф A</t>
  </si>
  <si>
    <t>X</t>
  </si>
  <si>
    <t>Y</t>
  </si>
  <si>
    <t>Построение графика</t>
  </si>
  <si>
    <t>Вывод</t>
  </si>
  <si>
    <t>В результате анализа двумерной выборки была построена линейная регпессия</t>
  </si>
  <si>
    <t>зависимости Y от X. Коэффициент корреляции Пирсона равен r = 0,22, что указывает на слабую зависимость</t>
  </si>
  <si>
    <t>между вуличинами. На графике видно, что экспр. Точки значительно рассеяны относительно линии регрессии,.</t>
  </si>
  <si>
    <t xml:space="preserve">Поэтому линейная модель лишь слабо приближает исходные данные. Выраженной линейной зависимости между случайными </t>
  </si>
  <si>
    <t>величинами X и Y не наблюдается</t>
  </si>
  <si>
    <t>Горовенко Анна ИСТ-03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</si>
</sst>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0" formatCode="0.0"/>
  </numFmts>
  <fonts count="6" x14ac:knownFonts="1">
    <font>
      <sz val="10"/>
      <color rgb="FF000000"/>
      <name val="Arial"/>
      <scheme val="minor"/>
    </font>
    <font>
      <sz val="10"/>
      <color theme="1"/>
      <name val="Arial"/>
      <scheme val="minor"/>
    </font>
    <font>
      <sz val="12"/>
      <color theme="1"/>
      <name val="Arial"/>
      <scheme val="minor"/>
    </font>
    <font>
      <sz val="10"/>
      <name val="Arial"/>
    </font>
    <font>
      <sz val="12"/>
      <color theme="1"/>
      <name val="Arial"/>
      <family val="2"/>
      <scheme val="minor"/>
    </font>
    <font>
      <sz val="8"/>
      <name val="Arial"/>
      <family val="2"/>
      <scheme val="minor"/>
    </font>
  </fonts>
  <fills count="9">
    <fill>
      <patternFill patternType="none"/>
    </fill>
    <fill>
      <patternFill patternType="gray125"/>
    </fill>
    <fill>
      <patternFill patternType="solid">
        <fgColor rgb="FFE2FFC7"/>
        <bgColor rgb="FFE2FFC7"/>
      </patternFill>
    </fill>
    <fill>
      <patternFill patternType="solid">
        <fgColor rgb="FFFFFFBF"/>
        <bgColor rgb="FFFFFFBF"/>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bgColor indexed="64"/>
      </patternFill>
    </fill>
    <fill>
      <patternFill patternType="solid">
        <fgColor theme="7" tint="0.39997558519241921"/>
        <bgColor indexed="64"/>
      </patternFill>
    </fill>
    <fill>
      <patternFill patternType="solid">
        <fgColor theme="4" tint="0.79998168889431442"/>
        <bgColor indexed="64"/>
      </patternFill>
    </fill>
  </fills>
  <borders count="17">
    <border>
      <left/>
      <right/>
      <top/>
      <bottom/>
      <diagonal/>
    </border>
    <border>
      <left/>
      <right/>
      <top style="thick">
        <color rgb="FF000000"/>
      </top>
      <bottom/>
      <diagonal/>
    </border>
    <border>
      <left/>
      <right style="thick">
        <color rgb="FF000000"/>
      </right>
      <top style="thick">
        <color rgb="FF000000"/>
      </top>
      <bottom/>
      <diagonal/>
    </border>
    <border>
      <left/>
      <right style="thick">
        <color rgb="FF000000"/>
      </right>
      <top/>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diagonal/>
    </border>
    <border>
      <left style="thick">
        <color rgb="FF000000"/>
      </left>
      <right/>
      <top/>
      <bottom/>
      <diagonal/>
    </border>
    <border>
      <left style="thick">
        <color rgb="FF000000"/>
      </left>
      <right/>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s>
  <cellStyleXfs count="1">
    <xf numFmtId="0" fontId="0" fillId="0" borderId="0"/>
  </cellStyleXfs>
  <cellXfs count="42">
    <xf numFmtId="0" fontId="0" fillId="0" borderId="0" xfId="0"/>
    <xf numFmtId="0" fontId="1" fillId="0" borderId="0" xfId="0" applyFont="1"/>
    <xf numFmtId="0" fontId="2" fillId="0" borderId="0" xfId="0" applyFont="1" applyAlignment="1">
      <alignment wrapText="1"/>
    </xf>
    <xf numFmtId="0" fontId="1" fillId="3" borderId="0" xfId="0" applyFont="1" applyFill="1"/>
    <xf numFmtId="0" fontId="1" fillId="0" borderId="12" xfId="0" applyFont="1" applyBorder="1" applyAlignment="1">
      <alignment horizontal="center"/>
    </xf>
    <xf numFmtId="0" fontId="1" fillId="0" borderId="13" xfId="0" applyFont="1" applyBorder="1"/>
    <xf numFmtId="0" fontId="1" fillId="2" borderId="13" xfId="0" applyFont="1" applyFill="1" applyBorder="1"/>
    <xf numFmtId="0" fontId="1" fillId="0" borderId="15" xfId="0" applyFont="1" applyBorder="1"/>
    <xf numFmtId="0" fontId="1" fillId="2" borderId="15" xfId="0" applyFont="1" applyFill="1" applyBorder="1"/>
    <xf numFmtId="0" fontId="1" fillId="0" borderId="14" xfId="0" applyFont="1" applyBorder="1"/>
    <xf numFmtId="0" fontId="1" fillId="2" borderId="14" xfId="0" applyFont="1" applyFill="1" applyBorder="1"/>
    <xf numFmtId="0" fontId="0" fillId="0" borderId="0" xfId="0"/>
    <xf numFmtId="0" fontId="2" fillId="2" borderId="1" xfId="0" applyFont="1" applyFill="1" applyBorder="1" applyAlignment="1">
      <alignment wrapText="1"/>
    </xf>
    <xf numFmtId="0" fontId="3" fillId="0" borderId="1" xfId="0" applyFont="1" applyBorder="1"/>
    <xf numFmtId="0" fontId="3" fillId="0" borderId="2" xfId="0" applyFont="1" applyBorder="1"/>
    <xf numFmtId="0" fontId="0" fillId="0" borderId="0" xfId="0"/>
    <xf numFmtId="0" fontId="3" fillId="0" borderId="3" xfId="0" applyFont="1" applyBorder="1"/>
    <xf numFmtId="0" fontId="3" fillId="0" borderId="4" xfId="0" applyFont="1" applyBorder="1"/>
    <xf numFmtId="0" fontId="3" fillId="0" borderId="5" xfId="0" applyFont="1" applyBorder="1"/>
    <xf numFmtId="0" fontId="4" fillId="3" borderId="6" xfId="0" applyFont="1" applyFill="1" applyBorder="1" applyAlignment="1">
      <alignment wrapText="1"/>
    </xf>
    <xf numFmtId="0" fontId="3" fillId="0" borderId="7" xfId="0" applyFont="1" applyBorder="1"/>
    <xf numFmtId="0" fontId="3" fillId="0" borderId="8" xfId="0" applyFont="1" applyBorder="1"/>
    <xf numFmtId="0" fontId="2" fillId="0" borderId="9" xfId="0" applyFont="1" applyBorder="1" applyAlignment="1">
      <alignment wrapText="1"/>
    </xf>
    <xf numFmtId="0" fontId="3" fillId="0" borderId="10" xfId="0" applyFont="1" applyBorder="1"/>
    <xf numFmtId="0" fontId="3" fillId="0" borderId="11" xfId="0" applyFont="1" applyBorder="1"/>
    <xf numFmtId="0" fontId="1" fillId="3" borderId="0" xfId="0" applyFont="1" applyFill="1"/>
    <xf numFmtId="0" fontId="1" fillId="0" borderId="14" xfId="0" applyFont="1" applyFill="1" applyBorder="1"/>
    <xf numFmtId="0" fontId="0" fillId="0" borderId="14" xfId="0" applyBorder="1"/>
    <xf numFmtId="2" fontId="0" fillId="0" borderId="14" xfId="0" applyNumberFormat="1" applyBorder="1"/>
    <xf numFmtId="0" fontId="0" fillId="0" borderId="16" xfId="0" applyBorder="1"/>
    <xf numFmtId="0" fontId="0" fillId="0" borderId="0" xfId="0" applyBorder="1"/>
    <xf numFmtId="170" fontId="0" fillId="0" borderId="0" xfId="0" applyNumberFormat="1"/>
    <xf numFmtId="170" fontId="0" fillId="0" borderId="14" xfId="0" applyNumberFormat="1" applyBorder="1"/>
    <xf numFmtId="0" fontId="1" fillId="5" borderId="14" xfId="0" applyFont="1" applyFill="1" applyBorder="1"/>
    <xf numFmtId="0" fontId="0" fillId="5" borderId="14" xfId="0" applyFill="1" applyBorder="1"/>
    <xf numFmtId="0" fontId="0" fillId="6" borderId="0" xfId="0" applyFill="1"/>
    <xf numFmtId="0" fontId="0" fillId="4" borderId="0" xfId="0" applyFill="1"/>
    <xf numFmtId="0" fontId="0" fillId="7" borderId="14" xfId="0" applyFill="1" applyBorder="1"/>
    <xf numFmtId="0" fontId="0" fillId="8" borderId="0" xfId="0" applyFill="1"/>
    <xf numFmtId="0" fontId="0" fillId="8" borderId="14" xfId="0" applyFill="1" applyBorder="1"/>
    <xf numFmtId="0" fontId="0" fillId="0" borderId="0" xfId="0"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ru-RU"/>
        </a:p>
      </c:txPr>
    </c:title>
    <c:autoTitleDeleted val="0"/>
    <c:plotArea>
      <c:layout/>
      <c:scatterChart>
        <c:scatterStyle val="lineMarker"/>
        <c:varyColors val="0"/>
        <c:ser>
          <c:idx val="0"/>
          <c:order val="0"/>
          <c:tx>
            <c:strRef>
              <c:f>Лист1!$L$40</c:f>
              <c:strCache>
                <c:ptCount val="1"/>
                <c:pt idx="0">
                  <c:v>Y</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1"/>
            <c:dispEq val="1"/>
            <c:trendlineLbl>
              <c:layout>
                <c:manualLayout>
                  <c:x val="-0.24948097112860892"/>
                  <c:y val="8.5983522892971714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ru-RU"/>
                </a:p>
              </c:txPr>
            </c:trendlineLbl>
          </c:trendline>
          <c:xVal>
            <c:numRef>
              <c:f>Лист1!$K$41:$K$46</c:f>
              <c:numCache>
                <c:formatCode>General</c:formatCode>
                <c:ptCount val="6"/>
                <c:pt idx="0">
                  <c:v>-1</c:v>
                </c:pt>
                <c:pt idx="1">
                  <c:v>2</c:v>
                </c:pt>
                <c:pt idx="2">
                  <c:v>0</c:v>
                </c:pt>
                <c:pt idx="3">
                  <c:v>1</c:v>
                </c:pt>
                <c:pt idx="4">
                  <c:v>-10</c:v>
                </c:pt>
                <c:pt idx="5">
                  <c:v>-6</c:v>
                </c:pt>
              </c:numCache>
            </c:numRef>
          </c:xVal>
          <c:yVal>
            <c:numRef>
              <c:f>Лист1!$L$41:$L$46</c:f>
              <c:numCache>
                <c:formatCode>General</c:formatCode>
                <c:ptCount val="6"/>
                <c:pt idx="0">
                  <c:v>1</c:v>
                </c:pt>
                <c:pt idx="1">
                  <c:v>-6</c:v>
                </c:pt>
                <c:pt idx="2">
                  <c:v>4</c:v>
                </c:pt>
                <c:pt idx="3">
                  <c:v>10</c:v>
                </c:pt>
                <c:pt idx="4">
                  <c:v>1</c:v>
                </c:pt>
                <c:pt idx="5">
                  <c:v>-6</c:v>
                </c:pt>
              </c:numCache>
            </c:numRef>
          </c:yVal>
          <c:smooth val="0"/>
          <c:extLst>
            <c:ext xmlns:c16="http://schemas.microsoft.com/office/drawing/2014/chart" uri="{C3380CC4-5D6E-409C-BE32-E72D297353CC}">
              <c16:uniqueId val="{00000000-3424-4FD2-A94F-2587A1C5DB18}"/>
            </c:ext>
          </c:extLst>
        </c:ser>
        <c:dLbls>
          <c:showLegendKey val="0"/>
          <c:showVal val="0"/>
          <c:showCatName val="0"/>
          <c:showSerName val="0"/>
          <c:showPercent val="0"/>
          <c:showBubbleSize val="0"/>
        </c:dLbls>
        <c:axId val="1460123215"/>
        <c:axId val="1460136943"/>
      </c:scatterChart>
      <c:valAx>
        <c:axId val="146012321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ru-RU"/>
          </a:p>
        </c:txPr>
        <c:crossAx val="1460136943"/>
        <c:crosses val="autoZero"/>
        <c:crossBetween val="midCat"/>
      </c:valAx>
      <c:valAx>
        <c:axId val="14601369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ru-RU"/>
          </a:p>
        </c:txPr>
        <c:crossAx val="14601232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821266</xdr:colOff>
      <xdr:row>38</xdr:row>
      <xdr:rowOff>190501</xdr:rowOff>
    </xdr:from>
    <xdr:to>
      <xdr:col>18</xdr:col>
      <xdr:colOff>160866</xdr:colOff>
      <xdr:row>53</xdr:row>
      <xdr:rowOff>12701</xdr:rowOff>
    </xdr:to>
    <xdr:graphicFrame macro="">
      <xdr:nvGraphicFramePr>
        <xdr:cNvPr id="2" name="Диаграмма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M89"/>
  <sheetViews>
    <sheetView tabSelected="1" zoomScaleNormal="100" workbookViewId="0">
      <selection activeCell="I7" sqref="I5:I7"/>
    </sheetView>
  </sheetViews>
  <sheetFormatPr defaultColWidth="12.6640625" defaultRowHeight="15.75" customHeight="1" x14ac:dyDescent="0.25"/>
  <cols>
    <col min="1" max="1" width="16.77734375" customWidth="1"/>
  </cols>
  <sheetData>
    <row r="2" spans="1:13" ht="15.75" customHeight="1" x14ac:dyDescent="0.25">
      <c r="C2" s="1"/>
      <c r="D2" s="1"/>
      <c r="E2" s="1"/>
      <c r="F2" s="1"/>
    </row>
    <row r="3" spans="1:13" ht="45" x14ac:dyDescent="0.25">
      <c r="A3" s="12" t="s">
        <v>0</v>
      </c>
      <c r="B3" s="13"/>
      <c r="C3" s="13"/>
      <c r="D3" s="13"/>
      <c r="E3" s="13"/>
      <c r="F3" s="14"/>
      <c r="H3" s="2" t="s">
        <v>42</v>
      </c>
      <c r="I3" s="2"/>
      <c r="J3" s="2"/>
      <c r="K3" s="2"/>
      <c r="L3" s="2"/>
      <c r="M3" s="2"/>
    </row>
    <row r="4" spans="1:13" ht="15" x14ac:dyDescent="0.25">
      <c r="A4" s="15"/>
      <c r="B4" s="15"/>
      <c r="C4" s="15"/>
      <c r="D4" s="15"/>
      <c r="E4" s="15"/>
      <c r="F4" s="16"/>
      <c r="H4" s="2"/>
      <c r="I4" s="2"/>
      <c r="J4" s="2"/>
      <c r="K4" s="2"/>
      <c r="L4" s="2"/>
      <c r="M4" s="2"/>
    </row>
    <row r="5" spans="1:13" ht="15" x14ac:dyDescent="0.25">
      <c r="A5" s="15"/>
      <c r="B5" s="15"/>
      <c r="C5" s="15"/>
      <c r="D5" s="15"/>
      <c r="E5" s="15"/>
      <c r="F5" s="16"/>
      <c r="H5" s="2"/>
      <c r="I5" s="2"/>
      <c r="J5" s="2"/>
      <c r="K5" s="2"/>
      <c r="L5" s="2"/>
      <c r="M5" s="2"/>
    </row>
    <row r="6" spans="1:13" ht="15" x14ac:dyDescent="0.25">
      <c r="A6" s="17"/>
      <c r="B6" s="17"/>
      <c r="C6" s="17"/>
      <c r="D6" s="17"/>
      <c r="E6" s="17"/>
      <c r="F6" s="18"/>
      <c r="H6" s="2"/>
      <c r="I6" s="2"/>
      <c r="J6" s="2"/>
      <c r="K6" s="2"/>
      <c r="L6" s="2"/>
      <c r="M6" s="2"/>
    </row>
    <row r="8" spans="1:13" ht="15.75" customHeight="1" x14ac:dyDescent="0.25">
      <c r="A8" s="19" t="s">
        <v>15</v>
      </c>
      <c r="B8" s="13"/>
      <c r="C8" s="13"/>
      <c r="D8" s="13"/>
      <c r="E8" s="13"/>
      <c r="F8" s="14"/>
    </row>
    <row r="9" spans="1:13" ht="15.75" customHeight="1" x14ac:dyDescent="0.25">
      <c r="A9" s="20"/>
      <c r="B9" s="15"/>
      <c r="C9" s="15"/>
      <c r="D9" s="15"/>
      <c r="E9" s="15"/>
      <c r="F9" s="16"/>
    </row>
    <row r="10" spans="1:13" ht="15.75" customHeight="1" x14ac:dyDescent="0.25">
      <c r="A10" s="20"/>
      <c r="B10" s="15"/>
      <c r="C10" s="15"/>
      <c r="D10" s="15"/>
      <c r="E10" s="15"/>
      <c r="F10" s="16"/>
    </row>
    <row r="11" spans="1:13" ht="15.75" customHeight="1" x14ac:dyDescent="0.25">
      <c r="A11" s="20"/>
      <c r="B11" s="15"/>
      <c r="C11" s="15"/>
      <c r="D11" s="15"/>
      <c r="E11" s="15"/>
      <c r="F11" s="16"/>
    </row>
    <row r="12" spans="1:13" ht="15.75" customHeight="1" x14ac:dyDescent="0.25">
      <c r="A12" s="20"/>
      <c r="B12" s="15"/>
      <c r="C12" s="15"/>
      <c r="D12" s="15"/>
      <c r="E12" s="15"/>
      <c r="F12" s="16"/>
    </row>
    <row r="13" spans="1:13" ht="15.75" customHeight="1" x14ac:dyDescent="0.25">
      <c r="A13" s="20"/>
      <c r="B13" s="15"/>
      <c r="C13" s="15"/>
      <c r="D13" s="15"/>
      <c r="E13" s="15"/>
      <c r="F13" s="16"/>
    </row>
    <row r="14" spans="1:13" ht="15.75" customHeight="1" x14ac:dyDescent="0.25">
      <c r="A14" s="20"/>
      <c r="B14" s="15"/>
      <c r="C14" s="15"/>
      <c r="D14" s="15"/>
      <c r="E14" s="15"/>
      <c r="F14" s="16"/>
    </row>
    <row r="15" spans="1:13" ht="15.75" customHeight="1" x14ac:dyDescent="0.25">
      <c r="A15" s="20"/>
      <c r="B15" s="15"/>
      <c r="C15" s="15"/>
      <c r="D15" s="15"/>
      <c r="E15" s="15"/>
      <c r="F15" s="16"/>
    </row>
    <row r="16" spans="1:13" ht="15.75" customHeight="1" x14ac:dyDescent="0.25">
      <c r="A16" s="20"/>
      <c r="B16" s="15"/>
      <c r="C16" s="15"/>
      <c r="D16" s="15"/>
      <c r="E16" s="15"/>
      <c r="F16" s="16"/>
    </row>
    <row r="17" spans="1:8" ht="15.75" customHeight="1" x14ac:dyDescent="0.25">
      <c r="A17" s="20"/>
      <c r="B17" s="15"/>
      <c r="C17" s="15"/>
      <c r="D17" s="15"/>
      <c r="E17" s="15"/>
      <c r="F17" s="16"/>
    </row>
    <row r="18" spans="1:8" ht="15.75" customHeight="1" x14ac:dyDescent="0.25">
      <c r="A18" s="20"/>
      <c r="B18" s="15"/>
      <c r="C18" s="15"/>
      <c r="D18" s="15"/>
      <c r="E18" s="15"/>
      <c r="F18" s="16"/>
    </row>
    <row r="19" spans="1:8" ht="15.75" customHeight="1" x14ac:dyDescent="0.25">
      <c r="A19" s="20"/>
      <c r="B19" s="15"/>
      <c r="C19" s="15"/>
      <c r="D19" s="15"/>
      <c r="E19" s="15"/>
      <c r="F19" s="16"/>
    </row>
    <row r="20" spans="1:8" ht="15.75" customHeight="1" x14ac:dyDescent="0.25">
      <c r="A20" s="20"/>
      <c r="B20" s="15"/>
      <c r="C20" s="15"/>
      <c r="D20" s="15"/>
      <c r="E20" s="15"/>
      <c r="F20" s="16"/>
    </row>
    <row r="21" spans="1:8" ht="15.75" customHeight="1" x14ac:dyDescent="0.25">
      <c r="A21" s="20"/>
      <c r="B21" s="15"/>
      <c r="C21" s="15"/>
      <c r="D21" s="15"/>
      <c r="E21" s="15"/>
      <c r="F21" s="16"/>
    </row>
    <row r="22" spans="1:8" ht="15.75" customHeight="1" x14ac:dyDescent="0.25">
      <c r="A22" s="20"/>
      <c r="B22" s="15"/>
      <c r="C22" s="15"/>
      <c r="D22" s="15"/>
      <c r="E22" s="15"/>
      <c r="F22" s="16"/>
    </row>
    <row r="23" spans="1:8" ht="15.75" customHeight="1" x14ac:dyDescent="0.25">
      <c r="A23" s="20"/>
      <c r="B23" s="15"/>
      <c r="C23" s="15"/>
      <c r="D23" s="15"/>
      <c r="E23" s="15"/>
      <c r="F23" s="16"/>
    </row>
    <row r="24" spans="1:8" ht="15.75" customHeight="1" x14ac:dyDescent="0.25">
      <c r="A24" s="20"/>
      <c r="B24" s="15"/>
      <c r="C24" s="15"/>
      <c r="D24" s="15"/>
      <c r="E24" s="15"/>
      <c r="F24" s="16"/>
    </row>
    <row r="25" spans="1:8" ht="15.75" customHeight="1" x14ac:dyDescent="0.25">
      <c r="A25" s="20"/>
      <c r="B25" s="15"/>
      <c r="C25" s="15"/>
      <c r="D25" s="15"/>
      <c r="E25" s="15"/>
      <c r="F25" s="16"/>
    </row>
    <row r="26" spans="1:8" ht="15.75" customHeight="1" x14ac:dyDescent="0.25">
      <c r="A26" s="20"/>
      <c r="B26" s="15"/>
      <c r="C26" s="15"/>
      <c r="D26" s="15"/>
      <c r="E26" s="15"/>
      <c r="F26" s="16"/>
    </row>
    <row r="27" spans="1:8" ht="15.75" customHeight="1" x14ac:dyDescent="0.25">
      <c r="A27" s="20"/>
      <c r="B27" s="15"/>
      <c r="C27" s="15"/>
      <c r="D27" s="15"/>
      <c r="E27" s="15"/>
      <c r="F27" s="16"/>
    </row>
    <row r="28" spans="1:8" ht="15.75" customHeight="1" thickBot="1" x14ac:dyDescent="0.3">
      <c r="A28" s="21"/>
      <c r="B28" s="17"/>
      <c r="C28" s="17"/>
      <c r="D28" s="17"/>
      <c r="E28" s="17"/>
      <c r="F28" s="18"/>
    </row>
    <row r="29" spans="1:8" ht="15.75" customHeight="1" thickTop="1" thickBot="1" x14ac:dyDescent="0.3"/>
    <row r="30" spans="1:8" ht="16.2" thickTop="1" thickBot="1" x14ac:dyDescent="0.3">
      <c r="A30" s="22" t="s">
        <v>1</v>
      </c>
      <c r="B30" s="23"/>
      <c r="C30" s="23"/>
      <c r="D30" s="23"/>
      <c r="E30" s="23"/>
      <c r="F30" s="24"/>
      <c r="G30" s="2"/>
      <c r="H30" s="2"/>
    </row>
    <row r="31" spans="1:8" ht="15.75" customHeight="1" thickTop="1" thickBot="1" x14ac:dyDescent="0.3"/>
    <row r="32" spans="1:8" ht="15.75" customHeight="1" thickTop="1" thickBot="1" x14ac:dyDescent="0.3">
      <c r="A32" s="25" t="s">
        <v>2</v>
      </c>
      <c r="B32" s="15"/>
      <c r="C32" s="4">
        <v>10</v>
      </c>
      <c r="D32" s="3" t="s">
        <v>3</v>
      </c>
      <c r="E32" s="4">
        <f>ROUND((C32+11)*6/7,)</f>
        <v>18</v>
      </c>
    </row>
    <row r="33" spans="1:12" ht="15.75" customHeight="1" thickTop="1" x14ac:dyDescent="0.25"/>
    <row r="34" spans="1:12" ht="15.75" customHeight="1" x14ac:dyDescent="0.25">
      <c r="C34" s="5" t="s">
        <v>4</v>
      </c>
      <c r="D34" s="5" t="s">
        <v>5</v>
      </c>
      <c r="E34" s="5" t="s">
        <v>6</v>
      </c>
      <c r="F34" s="5" t="s">
        <v>7</v>
      </c>
      <c r="G34" s="5" t="s">
        <v>8</v>
      </c>
      <c r="H34" s="5" t="s">
        <v>9</v>
      </c>
      <c r="J34" s="33" t="s">
        <v>16</v>
      </c>
      <c r="K34" s="34"/>
      <c r="L34" s="34">
        <f>SUM(C36:G39,H36:H39)</f>
        <v>134</v>
      </c>
    </row>
    <row r="35" spans="1:12" ht="15.75" customHeight="1" x14ac:dyDescent="0.25">
      <c r="B35" s="5" t="s">
        <v>10</v>
      </c>
      <c r="C35" s="6">
        <f>ROUND(10*COS(($E$32-5)/8),)</f>
        <v>-1</v>
      </c>
      <c r="D35" s="6">
        <f>ROUND(($E$32-10)/5,)</f>
        <v>2</v>
      </c>
      <c r="E35" s="6">
        <f>ROUND(($E$32-20)/5,)</f>
        <v>0</v>
      </c>
      <c r="F35" s="6">
        <f>ROUND(($E$32*2-30)/5,)</f>
        <v>1</v>
      </c>
      <c r="G35" s="6">
        <f>ROUND(10*COS(($E$32^2-12)/9),)</f>
        <v>-10</v>
      </c>
      <c r="H35" s="6">
        <f>ROUND(10*COS(($E$32^2-55)/8),)</f>
        <v>-6</v>
      </c>
    </row>
    <row r="36" spans="1:12" ht="15.75" customHeight="1" x14ac:dyDescent="0.25">
      <c r="A36" s="5" t="s">
        <v>11</v>
      </c>
      <c r="B36" s="6">
        <v>1</v>
      </c>
      <c r="C36" s="5">
        <f>ROUND(($E$32-1)/3,)</f>
        <v>6</v>
      </c>
      <c r="D36" s="5">
        <f>ROUND(($E$32-1)/5,)</f>
        <v>3</v>
      </c>
      <c r="E36" s="5">
        <f>ABS(ROUND(10*SIN($E$32-7),))</f>
        <v>10</v>
      </c>
      <c r="F36" s="5">
        <f>ROUND(($E$32+2)/7,)</f>
        <v>3</v>
      </c>
      <c r="G36" s="5">
        <f>ROUND(($E$32+2)/3,)</f>
        <v>7</v>
      </c>
      <c r="H36" s="5">
        <f>ABS(ROUND(10*SIN($E$32+11),))</f>
        <v>7</v>
      </c>
    </row>
    <row r="37" spans="1:12" ht="15.75" customHeight="1" x14ac:dyDescent="0.25">
      <c r="A37" s="5" t="s">
        <v>12</v>
      </c>
      <c r="B37" s="6">
        <v>-6</v>
      </c>
      <c r="C37" s="5">
        <f>ROUND(($E$32/3),)</f>
        <v>6</v>
      </c>
      <c r="D37" s="5">
        <f>ROUND(($E$32-1)/3,)</f>
        <v>6</v>
      </c>
      <c r="E37" s="5">
        <f>ABS(ROUND(10*COS(($E$32-5)/9),))</f>
        <v>1</v>
      </c>
      <c r="F37" s="5">
        <f>ABS(ROUND(10*COS(($E$32-9)/4),))</f>
        <v>6</v>
      </c>
      <c r="G37" s="5">
        <f>ROUND(($E$32-1)/7,)</f>
        <v>2</v>
      </c>
      <c r="H37" s="5">
        <f>ROUND(($E$32-1)/8,)</f>
        <v>2</v>
      </c>
    </row>
    <row r="38" spans="1:12" ht="15.75" customHeight="1" x14ac:dyDescent="0.25">
      <c r="A38" s="7" t="s">
        <v>13</v>
      </c>
      <c r="B38" s="8">
        <v>4</v>
      </c>
      <c r="C38" s="7">
        <f>ABS(ROUND(10*SIN($E$32+4),))</f>
        <v>0</v>
      </c>
      <c r="D38" s="7">
        <f>ABS(ROUND(10*SIN($E$32-2),))</f>
        <v>3</v>
      </c>
      <c r="E38" s="7">
        <f>ROUND(($E$32-1)/6,)</f>
        <v>3</v>
      </c>
      <c r="F38" s="7">
        <f t="shared" ref="F38:H38" si="0">ROUND(($E$32-1)/3,)</f>
        <v>6</v>
      </c>
      <c r="G38" s="7">
        <f t="shared" si="0"/>
        <v>6</v>
      </c>
      <c r="H38" s="7">
        <f t="shared" si="0"/>
        <v>6</v>
      </c>
      <c r="K38" s="38" t="s">
        <v>35</v>
      </c>
      <c r="L38" s="38"/>
    </row>
    <row r="39" spans="1:12" ht="15.75" customHeight="1" x14ac:dyDescent="0.25">
      <c r="A39" s="9" t="s">
        <v>14</v>
      </c>
      <c r="B39" s="10">
        <v>10</v>
      </c>
      <c r="C39" s="9">
        <f>ABS(ROUND(10*SIN($E$32-1),))</f>
        <v>10</v>
      </c>
      <c r="D39" s="9">
        <f>ABS(ROUND(10*SIN($E$32-7),))</f>
        <v>10</v>
      </c>
      <c r="E39" s="9">
        <v>4</v>
      </c>
      <c r="F39" s="9">
        <f>ABS(ROUND(10*SIN($E$32-7),))</f>
        <v>10</v>
      </c>
      <c r="G39" s="9">
        <f>ABS(ROUND(10*SIN($E$32-3),))</f>
        <v>7</v>
      </c>
      <c r="H39" s="9">
        <f>ABS(ROUND(10*SIN($E$32+12),))</f>
        <v>10</v>
      </c>
    </row>
    <row r="40" spans="1:12" ht="15.75" customHeight="1" x14ac:dyDescent="0.25">
      <c r="K40" s="41" t="s">
        <v>33</v>
      </c>
      <c r="L40" s="41" t="s">
        <v>34</v>
      </c>
    </row>
    <row r="41" spans="1:12" ht="15.75" customHeight="1" x14ac:dyDescent="0.25">
      <c r="K41" s="41">
        <v>-1</v>
      </c>
      <c r="L41" s="41">
        <v>1</v>
      </c>
    </row>
    <row r="42" spans="1:12" ht="15.75" customHeight="1" x14ac:dyDescent="0.25">
      <c r="A42" s="26" t="s">
        <v>17</v>
      </c>
      <c r="B42" s="27">
        <f>SUM(C36:C39)</f>
        <v>22</v>
      </c>
      <c r="C42" s="27">
        <f>SUM(D36:D39)</f>
        <v>22</v>
      </c>
      <c r="D42" s="27">
        <f>SUM(E36:E39)</f>
        <v>18</v>
      </c>
      <c r="E42" s="27">
        <f>SUM(F36:F39)</f>
        <v>25</v>
      </c>
      <c r="F42" s="27">
        <f>SUM(G36:G39)</f>
        <v>22</v>
      </c>
      <c r="G42" s="27">
        <f>SUM(H36:H39)</f>
        <v>25</v>
      </c>
      <c r="K42" s="41">
        <v>2</v>
      </c>
      <c r="L42" s="41">
        <v>-6</v>
      </c>
    </row>
    <row r="43" spans="1:12" ht="15.75" customHeight="1" x14ac:dyDescent="0.25">
      <c r="K43" s="41">
        <v>0</v>
      </c>
      <c r="L43" s="41">
        <v>4</v>
      </c>
    </row>
    <row r="44" spans="1:12" ht="15.75" customHeight="1" x14ac:dyDescent="0.25">
      <c r="A44" s="26" t="s">
        <v>18</v>
      </c>
      <c r="B44" s="29">
        <f>SUM(C36:H36)</f>
        <v>36</v>
      </c>
      <c r="C44" s="30"/>
      <c r="D44" s="30"/>
      <c r="E44" s="30"/>
      <c r="F44" s="30"/>
      <c r="G44" s="30"/>
      <c r="K44" s="41">
        <v>1</v>
      </c>
      <c r="L44" s="41">
        <v>10</v>
      </c>
    </row>
    <row r="45" spans="1:12" ht="15.75" customHeight="1" x14ac:dyDescent="0.25">
      <c r="A45" s="27"/>
      <c r="B45" s="29">
        <f>SUM(C37:H37)</f>
        <v>23</v>
      </c>
      <c r="C45" s="30"/>
      <c r="D45" s="30"/>
      <c r="E45" s="30"/>
      <c r="F45" s="30"/>
      <c r="G45" s="30"/>
      <c r="K45" s="41">
        <v>-10</v>
      </c>
      <c r="L45" s="41">
        <v>1</v>
      </c>
    </row>
    <row r="46" spans="1:12" ht="15.75" customHeight="1" x14ac:dyDescent="0.25">
      <c r="A46" s="27"/>
      <c r="B46" s="29">
        <f>SUM(C38:H38)</f>
        <v>24</v>
      </c>
      <c r="C46" s="30"/>
      <c r="D46" s="30"/>
      <c r="E46" s="30"/>
      <c r="F46" s="30"/>
      <c r="G46" s="30"/>
      <c r="K46" s="41">
        <v>-6</v>
      </c>
      <c r="L46" s="41">
        <v>-6</v>
      </c>
    </row>
    <row r="47" spans="1:12" ht="15.75" customHeight="1" x14ac:dyDescent="0.25">
      <c r="A47" s="27"/>
      <c r="B47" s="29">
        <f>SUM(C39:H39)</f>
        <v>51</v>
      </c>
      <c r="C47" s="30"/>
      <c r="D47" s="30"/>
      <c r="E47" s="30"/>
      <c r="F47" s="30"/>
      <c r="G47" s="30"/>
      <c r="L47" s="40"/>
    </row>
    <row r="49" spans="1:11" ht="15.75" customHeight="1" x14ac:dyDescent="0.25">
      <c r="A49" s="27" t="s">
        <v>19</v>
      </c>
      <c r="B49" s="28">
        <f>SUMPRODUCT(C35:H35,B42:G42)/134</f>
        <v>-2.41044776119403</v>
      </c>
    </row>
    <row r="50" spans="1:11" ht="15.75" customHeight="1" x14ac:dyDescent="0.25">
      <c r="A50" s="27" t="s">
        <v>20</v>
      </c>
      <c r="B50" s="28">
        <f>SUMPRODUCT(B36:B39,B44:B47)/134</f>
        <v>3.7611940298507465</v>
      </c>
    </row>
    <row r="53" spans="1:11" ht="15.75" customHeight="1" x14ac:dyDescent="0.25">
      <c r="A53" s="27" t="s">
        <v>21</v>
      </c>
      <c r="B53" s="27"/>
      <c r="C53" s="32">
        <f>(C35-$B$49)^2</f>
        <v>1.9893628870572515</v>
      </c>
      <c r="D53" s="32">
        <f t="shared" ref="D53:H53" si="1">(D35-$B$49)^2</f>
        <v>19.452049454221431</v>
      </c>
      <c r="E53" s="32">
        <f t="shared" si="1"/>
        <v>5.8102584094453116</v>
      </c>
      <c r="F53" s="32">
        <f t="shared" si="1"/>
        <v>11.631153931833373</v>
      </c>
      <c r="G53" s="32">
        <f t="shared" si="1"/>
        <v>57.60130318556471</v>
      </c>
      <c r="H53" s="32">
        <f t="shared" si="1"/>
        <v>12.884885275116952</v>
      </c>
    </row>
    <row r="54" spans="1:11" ht="15.75" customHeight="1" x14ac:dyDescent="0.25">
      <c r="A54" s="27" t="s">
        <v>22</v>
      </c>
      <c r="B54" s="28">
        <f>SUMPRODUCT(C53:H53,B42:G42)/134</f>
        <v>18.331532635330809</v>
      </c>
    </row>
    <row r="55" spans="1:11" ht="15.75" customHeight="1" x14ac:dyDescent="0.25">
      <c r="A55" s="27" t="s">
        <v>23</v>
      </c>
      <c r="B55" s="32">
        <f>SQRT(B54)</f>
        <v>4.2815339115007376</v>
      </c>
    </row>
    <row r="56" spans="1:11" ht="15.75" customHeight="1" x14ac:dyDescent="0.25">
      <c r="K56" s="36" t="s">
        <v>36</v>
      </c>
    </row>
    <row r="57" spans="1:11" ht="15.75" customHeight="1" x14ac:dyDescent="0.25">
      <c r="A57" s="27" t="s">
        <v>24</v>
      </c>
      <c r="B57" s="27"/>
      <c r="C57" s="32">
        <f>(B36-$B$50)^2</f>
        <v>7.624192470483405</v>
      </c>
      <c r="K57" t="s">
        <v>37</v>
      </c>
    </row>
    <row r="58" spans="1:11" ht="15.75" customHeight="1" x14ac:dyDescent="0.25">
      <c r="A58" s="27"/>
      <c r="B58" s="27"/>
      <c r="C58" s="32">
        <f t="shared" ref="C58:C61" si="2">(B37-$B$50)^2</f>
        <v>95.280908888393839</v>
      </c>
      <c r="K58" t="s">
        <v>38</v>
      </c>
    </row>
    <row r="59" spans="1:11" ht="15.75" customHeight="1" x14ac:dyDescent="0.25">
      <c r="A59" s="27"/>
      <c r="B59" s="27"/>
      <c r="C59" s="32">
        <f t="shared" si="2"/>
        <v>5.702829137892617E-2</v>
      </c>
      <c r="K59" t="s">
        <v>39</v>
      </c>
    </row>
    <row r="60" spans="1:11" ht="15.75" customHeight="1" x14ac:dyDescent="0.25">
      <c r="A60" s="27"/>
      <c r="B60" s="27"/>
      <c r="C60" s="32">
        <f t="shared" si="2"/>
        <v>38.922699933169966</v>
      </c>
      <c r="K60" t="s">
        <v>40</v>
      </c>
    </row>
    <row r="61" spans="1:11" ht="15.75" customHeight="1" x14ac:dyDescent="0.25">
      <c r="A61" s="27" t="s">
        <v>25</v>
      </c>
      <c r="B61" s="28">
        <f>SUMPRODUCT(C57:C60,B44:B47)/134</f>
        <v>33.226553798173313</v>
      </c>
      <c r="C61" s="31"/>
      <c r="K61" t="s">
        <v>41</v>
      </c>
    </row>
    <row r="62" spans="1:11" ht="15.75" customHeight="1" x14ac:dyDescent="0.25">
      <c r="A62" s="27" t="s">
        <v>26</v>
      </c>
      <c r="B62" s="28">
        <f>SQRT(B61)</f>
        <v>5.7642478952742229</v>
      </c>
      <c r="C62" s="31"/>
    </row>
    <row r="63" spans="1:11" ht="15.75" customHeight="1" x14ac:dyDescent="0.25">
      <c r="C63" s="31"/>
    </row>
    <row r="64" spans="1:11" ht="15.75" customHeight="1" x14ac:dyDescent="0.25">
      <c r="A64" s="35" t="s">
        <v>28</v>
      </c>
      <c r="B64" s="35"/>
    </row>
    <row r="65" spans="1:6" ht="15.75" customHeight="1" x14ac:dyDescent="0.25">
      <c r="A65" s="27">
        <f>(C35-$B$49)*(B36-$B$50)*C36</f>
        <v>-23.36711962575184</v>
      </c>
      <c r="B65" s="27">
        <f t="shared" ref="B65:F65" si="3">(D35-$B$49)*(C36-$B$50)*D36</f>
        <v>29.622410336377811</v>
      </c>
      <c r="C65" s="27">
        <f t="shared" si="3"/>
        <v>-18.348184450879934</v>
      </c>
      <c r="D65" s="27">
        <f t="shared" si="3"/>
        <v>63.831365560258405</v>
      </c>
      <c r="E65" s="27">
        <f t="shared" si="3"/>
        <v>40.439852973936297</v>
      </c>
      <c r="F65" s="27">
        <f t="shared" si="3"/>
        <v>-81.381042548451759</v>
      </c>
    </row>
    <row r="66" spans="1:6" ht="15.75" customHeight="1" x14ac:dyDescent="0.25">
      <c r="A66" s="27">
        <f t="shared" ref="A66:A68" si="4">(C36-$B$49)*(B37-$B$50)*C37</f>
        <v>-492.57607484963239</v>
      </c>
      <c r="B66" s="27">
        <f t="shared" ref="B66:B68" si="5">(D36-$B$49)*(C37-$B$50)*D37</f>
        <v>72.677656493651142</v>
      </c>
      <c r="C66" s="27">
        <f t="shared" ref="C66:C68" si="6">(E36-$B$49)*(D37-$B$50)*E37</f>
        <v>27.784584539986632</v>
      </c>
      <c r="D66" s="27">
        <f t="shared" ref="D66:D68" si="7">(F36-$B$49)*(E37-$B$50)*F37</f>
        <v>-89.635776342169763</v>
      </c>
      <c r="E66" s="27">
        <f t="shared" ref="E66:E68" si="8">(G36-$B$49)*(F37-$B$50)*G37</f>
        <v>42.136333259077745</v>
      </c>
      <c r="F66" s="27">
        <f t="shared" ref="F66:F68" si="9">(H36-$B$49)*(G37-$B$50)*H37</f>
        <v>-33.147248830474496</v>
      </c>
    </row>
    <row r="67" spans="1:6" ht="15.75" customHeight="1" x14ac:dyDescent="0.25">
      <c r="A67" s="27">
        <f t="shared" si="4"/>
        <v>0</v>
      </c>
      <c r="B67" s="27">
        <f t="shared" si="5"/>
        <v>-94.899977723323687</v>
      </c>
      <c r="C67" s="27">
        <f t="shared" si="6"/>
        <v>-7.7880374248162196</v>
      </c>
      <c r="D67" s="27">
        <f t="shared" si="7"/>
        <v>-38.411895745154837</v>
      </c>
      <c r="E67" s="27">
        <f t="shared" si="8"/>
        <v>59.244820672755623</v>
      </c>
      <c r="F67" s="27">
        <f t="shared" si="9"/>
        <v>59.244820672755623</v>
      </c>
    </row>
    <row r="68" spans="1:6" ht="15.75" customHeight="1" x14ac:dyDescent="0.25">
      <c r="A68" s="27">
        <f t="shared" si="4"/>
        <v>150.38315883270218</v>
      </c>
      <c r="B68" s="27">
        <f t="shared" si="5"/>
        <v>337.54733793717975</v>
      </c>
      <c r="C68" s="27">
        <f t="shared" si="6"/>
        <v>135.0189351748719</v>
      </c>
      <c r="D68" s="27">
        <f t="shared" si="7"/>
        <v>20.084651370015578</v>
      </c>
      <c r="E68" s="27">
        <f t="shared" si="8"/>
        <v>367.29806192916016</v>
      </c>
      <c r="F68" s="27">
        <f t="shared" si="9"/>
        <v>272.39808420583648</v>
      </c>
    </row>
    <row r="70" spans="1:6" ht="15.75" customHeight="1" x14ac:dyDescent="0.25">
      <c r="A70" s="37" t="s">
        <v>27</v>
      </c>
      <c r="B70" s="32">
        <f>SUM(A65:F68)/134</f>
        <v>5.9563934061038077</v>
      </c>
    </row>
    <row r="71" spans="1:6" ht="15.75" customHeight="1" x14ac:dyDescent="0.25">
      <c r="A71" s="27" t="s">
        <v>29</v>
      </c>
      <c r="B71" s="28">
        <f>B70/($B$55*$B$62)</f>
        <v>0.24134668409991783</v>
      </c>
    </row>
    <row r="72" spans="1:6" ht="15.75" customHeight="1" x14ac:dyDescent="0.25">
      <c r="A72" s="39" t="s">
        <v>30</v>
      </c>
      <c r="B72" s="27"/>
    </row>
    <row r="73" spans="1:6" ht="15.75" customHeight="1" x14ac:dyDescent="0.25">
      <c r="A73" s="27" t="s">
        <v>31</v>
      </c>
      <c r="B73" s="32">
        <f>B70/B54</f>
        <v>0.32492609999362004</v>
      </c>
    </row>
    <row r="74" spans="1:6" ht="15.75" customHeight="1" x14ac:dyDescent="0.25">
      <c r="A74" s="27" t="s">
        <v>32</v>
      </c>
      <c r="B74" s="28">
        <f>$B$49-B73*$B$50</f>
        <v>-3.6325578686327207</v>
      </c>
    </row>
    <row r="83" spans="3:3" ht="15.75" customHeight="1" x14ac:dyDescent="0.25">
      <c r="C83" s="11"/>
    </row>
    <row r="84" spans="3:3" ht="15.75" customHeight="1" x14ac:dyDescent="0.25">
      <c r="C84" s="11"/>
    </row>
    <row r="85" spans="3:3" ht="15.75" customHeight="1" x14ac:dyDescent="0.25">
      <c r="C85" s="11"/>
    </row>
    <row r="86" spans="3:3" ht="15.75" customHeight="1" x14ac:dyDescent="0.25">
      <c r="C86" s="11"/>
    </row>
    <row r="87" spans="3:3" ht="15.75" customHeight="1" x14ac:dyDescent="0.25">
      <c r="C87" s="11"/>
    </row>
    <row r="88" spans="3:3" ht="15.75" customHeight="1" x14ac:dyDescent="0.25">
      <c r="C88" s="11"/>
    </row>
    <row r="89" spans="3:3" ht="15.75" customHeight="1" x14ac:dyDescent="0.25">
      <c r="C89" s="11"/>
    </row>
  </sheetData>
  <mergeCells count="4">
    <mergeCell ref="A3:F6"/>
    <mergeCell ref="A8:F28"/>
    <mergeCell ref="A30:F30"/>
    <mergeCell ref="A32:B32"/>
  </mergeCells>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Коробко Евгения Владимировна</dc:creator>
  <cp:lastModifiedBy>User</cp:lastModifiedBy>
  <dcterms:created xsi:type="dcterms:W3CDTF">2024-12-17T23:46:53Z</dcterms:created>
  <dcterms:modified xsi:type="dcterms:W3CDTF">2025-12-16T07:48:16Z</dcterms:modified>
</cp:coreProperties>
</file>